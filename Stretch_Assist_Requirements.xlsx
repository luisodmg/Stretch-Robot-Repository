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Overview" sheetId="1" state="visible" r:id="rId1"/>
    <sheet name="Target Objects" sheetId="2" state="visible" r:id="rId2"/>
    <sheet name="Functional Requirements" sheetId="3" state="visible" r:id="rId3"/>
    <sheet name="Non-Functional Requirements" sheetId="4" state="visible" r:id="rId4"/>
    <sheet name="Task Breakdown" sheetId="5" state="visible" r:id="rId5"/>
    <sheet name="Hours Summary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1"/>
    </font>
    <font>
      <b val="1"/>
      <sz val="13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9" fillId="0" borderId="0" pivotButton="0" quotePrefix="0" xfId="0"/>
    <xf numFmtId="0" fontId="10" fillId="6" borderId="0" applyAlignment="1" pivotButton="0" quotePrefix="0" xfId="0">
      <alignment horizont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16" min="1" max="1"/>
    <col width="75" customWidth="1" style="16" min="2" max="2"/>
  </cols>
  <sheetData>
    <row r="1" ht="17.35" customHeight="1" s="17">
      <c r="A1" s="18" t="inlineStr">
        <is>
          <t>Stretch Assist</t>
        </is>
      </c>
    </row>
    <row r="2" ht="15" customHeight="1" s="17">
      <c r="A2" s="19" t="inlineStr">
        <is>
          <t>Autonomous object retrieval and delivery through an accessible command interface</t>
        </is>
      </c>
    </row>
    <row r="4" ht="15" customHeight="1" s="17">
      <c r="A4" s="20" t="inlineStr">
        <is>
          <t>Course</t>
        </is>
      </c>
      <c r="B4" s="21" t="inlineStr">
        <is>
          <t>Robotics and Cyber-Physical Systems</t>
        </is>
      </c>
    </row>
    <row r="5" ht="15" customHeight="1" s="17">
      <c r="A5" s="20" t="inlineStr">
        <is>
          <t>Institution</t>
        </is>
      </c>
      <c r="B5" s="21" t="inlineStr">
        <is>
          <t>School of Sciences and Engineering, Tecnologico de Monterrey</t>
        </is>
      </c>
    </row>
    <row r="6" ht="15" customHeight="1" s="17">
      <c r="A6" s="20" t="inlineStr">
        <is>
          <t>Platform</t>
        </is>
      </c>
      <c r="B6" s="21" t="inlineStr">
        <is>
          <t>Stretch MuJoCo Digital Twin (stretch_mujoco_digital_twin)</t>
        </is>
      </c>
    </row>
    <row r="7" ht="15" customHeight="1" s="17">
      <c r="A7" s="20" t="inlineStr">
        <is>
          <t>Team</t>
        </is>
      </c>
      <c r="B7" s="21" t="inlineStr">
        <is>
          <t>Gustavo (technical lead, 80 h) and Luis (interface and evidence, 30 h)</t>
        </is>
      </c>
    </row>
    <row r="8" ht="15" customHeight="1" s="17">
      <c r="A8" s="20" t="inlineStr">
        <is>
          <t>Total effort</t>
        </is>
      </c>
      <c r="B8" s="21" t="inlineStr">
        <is>
          <t>110 h</t>
        </is>
      </c>
    </row>
    <row r="9" ht="15" customHeight="1" s="17">
      <c r="A9" s="20" t="inlineStr">
        <is>
          <t>Document version</t>
        </is>
      </c>
      <c r="B9" s="21" t="inlineStr">
        <is>
          <t>1.1</t>
        </is>
      </c>
    </row>
    <row r="11" ht="15" customHeight="1" s="17">
      <c r="A11" s="22" t="inlineStr">
        <is>
          <t>Sheets in this workbook</t>
        </is>
      </c>
    </row>
    <row r="12" ht="15" customHeight="1" s="17">
      <c r="A12" s="23" t="inlineStr">
        <is>
          <t>Functional Requirements</t>
        </is>
      </c>
      <c r="B12" s="23" t="inlineStr">
        <is>
          <t>What the system must do (RF-01 to RF-12).</t>
        </is>
      </c>
    </row>
    <row r="13" ht="15" customHeight="1" s="17">
      <c r="A13" s="23" t="inlineStr">
        <is>
          <t>Non-Functional Requirements</t>
        </is>
      </c>
      <c r="B13" s="23" t="inlineStr">
        <is>
          <t>Quality attributes and constraints (RNF-01 to RNF-09).</t>
        </is>
      </c>
    </row>
    <row r="14" ht="15" customHeight="1" s="17">
      <c r="A14" s="23" t="inlineStr">
        <is>
          <t>Task Breakdown</t>
        </is>
      </c>
      <c r="B14" s="23" t="inlineStr">
        <is>
          <t>Work packages with owner, hours and the requirements each one covers.</t>
        </is>
      </c>
    </row>
    <row r="15" ht="15" customHeight="1" s="17">
      <c r="A15" s="23" t="inlineStr">
        <is>
          <t>Hours Summary</t>
        </is>
      </c>
      <c r="B15" s="23" t="inlineStr">
        <is>
          <t>Hours per person, computed from the task breakdown.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style="17" min="1" max="1"/>
    <col width="18" customWidth="1" style="17" min="2" max="2"/>
    <col width="52" customWidth="1" style="17" min="3" max="3"/>
    <col width="12" customWidth="1" style="17" min="4" max="4"/>
  </cols>
  <sheetData>
    <row r="1">
      <c r="A1" s="33" t="inlineStr">
        <is>
          <t>Target Objects</t>
        </is>
      </c>
    </row>
    <row r="2">
      <c r="A2" t="inlineStr">
        <is>
          <t>Each object has an ArUco marker sticker attached. The robot identifies the object from the marker ID.</t>
        </is>
      </c>
    </row>
    <row r="4">
      <c r="A4" s="34" t="inlineStr">
        <is>
          <t>ArUco ID</t>
        </is>
      </c>
      <c r="B4" s="34" t="inlineStr">
        <is>
          <t>Object</t>
        </is>
      </c>
      <c r="C4" s="34" t="inlineStr">
        <is>
          <t>Description</t>
        </is>
      </c>
      <c r="D4" s="34" t="inlineStr">
        <is>
          <t>In Scope</t>
        </is>
      </c>
    </row>
    <row r="5">
      <c r="A5" t="n">
        <v>0</v>
      </c>
      <c r="B5" t="inlineStr">
        <is>
          <t>Medicine box</t>
        </is>
      </c>
      <c r="C5" t="inlineStr">
        <is>
          <t>Small cardboard box representing a medication container.</t>
        </is>
      </c>
      <c r="D5" t="inlineStr">
        <is>
          <t>Yes</t>
        </is>
      </c>
    </row>
    <row r="6">
      <c r="A6" t="n">
        <v>1</v>
      </c>
      <c r="B6" t="inlineStr">
        <is>
          <t>Glass</t>
        </is>
      </c>
      <c r="C6" t="inlineStr">
        <is>
          <t>Cylindrical cup for drinking.</t>
        </is>
      </c>
      <c r="D6" t="inlineStr">
        <is>
          <t>Yes</t>
        </is>
      </c>
    </row>
    <row r="7">
      <c r="A7" t="n">
        <v>2</v>
      </c>
      <c r="B7" t="inlineStr">
        <is>
          <t>Tissue</t>
        </is>
      </c>
      <c r="C7" t="inlineStr">
        <is>
          <t>Flat, lightweight cloth or paper tissue.</t>
        </is>
      </c>
      <c r="D7" t="inlineStr">
        <is>
          <t>Yes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16" min="1" max="1"/>
    <col width="52" customWidth="1" style="16" min="2" max="2"/>
    <col width="10" customWidth="1" style="16" min="3" max="3"/>
    <col width="11" customWidth="1" style="16" min="4" max="4"/>
    <col width="8" customWidth="1" style="16" min="5" max="5"/>
    <col width="55" customWidth="1" style="16" min="6" max="6"/>
  </cols>
  <sheetData>
    <row r="1" ht="17.35" customHeight="1" s="17">
      <c r="A1" s="18" t="inlineStr">
        <is>
          <t>Functional Requirements</t>
        </is>
      </c>
    </row>
    <row r="3" ht="15" customHeight="1" s="17">
      <c r="A3" s="24" t="inlineStr">
        <is>
          <t>ID</t>
        </is>
      </c>
      <c r="B3" s="24" t="inlineStr">
        <is>
          <t>Requirement</t>
        </is>
      </c>
      <c r="C3" s="24" t="inlineStr">
        <is>
          <t>Priority</t>
        </is>
      </c>
      <c r="D3" s="24" t="inlineStr">
        <is>
          <t>Owner</t>
        </is>
      </c>
      <c r="E3" s="24" t="inlineStr">
        <is>
          <t>Task</t>
        </is>
      </c>
      <c r="F3" s="24" t="inlineStr">
        <is>
          <t>Justification</t>
        </is>
      </c>
    </row>
    <row r="4" ht="23.85" customHeight="1" s="17">
      <c r="A4" s="25" t="inlineStr">
        <is>
          <t>RF-01</t>
        </is>
      </c>
      <c r="B4" s="25" t="inlineStr">
        <is>
          <t>The system must let the user select the target object through an accessible command (voice or large button).</t>
        </is>
      </c>
      <c r="C4" s="26" t="inlineStr">
        <is>
          <t>High</t>
        </is>
      </c>
      <c r="D4" s="27" t="inlineStr">
        <is>
          <t>Luis</t>
        </is>
      </c>
      <c r="E4" s="26" t="inlineStr">
        <is>
          <t>T7</t>
        </is>
      </c>
      <c r="F4" s="25" t="inlineStr">
        <is>
          <t>It is the entry point that delivers the accessibility value. A user with reduced mobility cannot use a keyboard or gamepad.</t>
        </is>
      </c>
    </row>
    <row r="5" ht="23.85" customHeight="1" s="17">
      <c r="A5" s="25" t="inlineStr">
        <is>
          <t>RF-02</t>
        </is>
      </c>
      <c r="B5" s="25" t="inlineStr">
        <is>
          <t>The system must detect the target object by identifying its ArUco marker (ID 0 = medicine box, ID 1 = glass, ID 2 = tissue) in the RGB frame of the head camera using cv2.aruco.</t>
        </is>
      </c>
      <c r="C5" s="26" t="inlineStr">
        <is>
          <t>High</t>
        </is>
      </c>
      <c r="D5" s="28" t="inlineStr">
        <is>
          <t>Gustavo</t>
        </is>
      </c>
      <c r="E5" s="26" t="inlineStr">
        <is>
          <t>T1</t>
        </is>
      </c>
      <c r="F5" s="25" t="inlineStr">
        <is>
          <t>ArUco markers are robust under the simulator lighting conditions and transfer directly to the physical robot without recalibration.</t>
        </is>
      </c>
    </row>
    <row r="6" ht="35.05" customHeight="1" s="17">
      <c r="A6" s="25" t="inlineStr">
        <is>
          <t>RF-03</t>
        </is>
      </c>
      <c r="B6" s="25" t="inlineStr">
        <is>
          <t>The system must estimate the 3D position of the detected object by combining the ArUco marker centroid, the pixel depth from the depth camera, and the camera intrinsics.</t>
        </is>
      </c>
      <c r="C6" s="26" t="inlineStr">
        <is>
          <t>High</t>
        </is>
      </c>
      <c r="D6" s="28" t="inlineStr">
        <is>
          <t>Gustavo</t>
        </is>
      </c>
      <c r="E6" s="26" t="inlineStr">
        <is>
          <t>T1</t>
        </is>
      </c>
      <c r="F6" s="25" t="inlineStr">
        <is>
          <t>Without a 3D position the robot cannot approach or grasp. The toolkit already exposes the depth frame and camera intrinsics.</t>
        </is>
      </c>
    </row>
    <row r="7" ht="35.05" customHeight="1" s="17">
      <c r="A7" s="25" t="inlineStr">
        <is>
          <t>RF-04</t>
        </is>
      </c>
      <c r="B7" s="25" t="inlineStr">
        <is>
          <t>The robot must run an autonomous search (rotating the base and head) until it locates the object when it is outside the initial field of view.</t>
        </is>
      </c>
      <c r="C7" s="26" t="inlineStr">
        <is>
          <t>High</t>
        </is>
      </c>
      <c r="D7" s="28" t="inlineStr">
        <is>
          <t>Gustavo</t>
        </is>
      </c>
      <c r="E7" s="26" t="inlineStr">
        <is>
          <t>T2</t>
        </is>
      </c>
      <c r="F7" s="25" t="inlineStr">
        <is>
          <t>The object will not always be in front of the robot, so the search makes the system genuinely autonomous.</t>
        </is>
      </c>
    </row>
    <row r="8" ht="23.85" customHeight="1" s="17">
      <c r="A8" s="25" t="inlineStr">
        <is>
          <t>RF-05</t>
        </is>
      </c>
      <c r="B8" s="25" t="inlineStr">
        <is>
          <t>The robot must approach the object autonomously using base velocity control.</t>
        </is>
      </c>
      <c r="C8" s="26" t="inlineStr">
        <is>
          <t>High</t>
        </is>
      </c>
      <c r="D8" s="28" t="inlineStr">
        <is>
          <t>Gustavo</t>
        </is>
      </c>
      <c r="E8" s="26" t="inlineStr">
        <is>
          <t>T2</t>
        </is>
      </c>
      <c r="F8" s="25" t="inlineStr">
        <is>
          <t>The object is usually outside the arm reach, so the mobile base has to reposition.</t>
        </is>
      </c>
    </row>
    <row r="9" ht="23.85" customHeight="1" s="17">
      <c r="A9" s="25" t="inlineStr">
        <is>
          <t>RF-06</t>
        </is>
      </c>
      <c r="B9" s="25" t="inlineStr">
        <is>
          <t>The robot must perform fine alignment of the end effector through visual servoing with the wrist camera.</t>
        </is>
      </c>
      <c r="C9" s="26" t="inlineStr">
        <is>
          <t>High</t>
        </is>
      </c>
      <c r="D9" s="28" t="inlineStr">
        <is>
          <t>Gustavo</t>
        </is>
      </c>
      <c r="E9" s="26" t="inlineStr">
        <is>
          <t>T3</t>
        </is>
      </c>
      <c r="F9" s="25" t="inlineStr">
        <is>
          <t>Base approach is not precise enough to grasp, so the wrist camera corrects the residual error.</t>
        </is>
      </c>
    </row>
    <row r="10" ht="23.85" customHeight="1" s="17">
      <c r="A10" s="25" t="inlineStr">
        <is>
          <t>RF-07</t>
        </is>
      </c>
      <c r="B10" s="25" t="inlineStr">
        <is>
          <t>The robot must close the gripper on the object and verify that the grasp succeeded.</t>
        </is>
      </c>
      <c r="C10" s="26" t="inlineStr">
        <is>
          <t>High</t>
        </is>
      </c>
      <c r="D10" s="28" t="inlineStr">
        <is>
          <t>Gustavo</t>
        </is>
      </c>
      <c r="E10" s="26" t="inlineStr">
        <is>
          <t>T3</t>
        </is>
      </c>
      <c r="F10" s="25" t="inlineStr">
        <is>
          <t>Grasping without verification produces false successes, so verification enables retries (see RNF-05).</t>
        </is>
      </c>
    </row>
    <row r="11" ht="23.85" customHeight="1" s="17">
      <c r="A11" s="25" t="inlineStr">
        <is>
          <t>RF-08</t>
        </is>
      </c>
      <c r="B11" s="25" t="inlineStr">
        <is>
          <t>The robot must return to the user position and release or hand over the object.</t>
        </is>
      </c>
      <c r="C11" s="26" t="inlineStr">
        <is>
          <t>High</t>
        </is>
      </c>
      <c r="D11" s="28" t="inlineStr">
        <is>
          <t>Gustavo</t>
        </is>
      </c>
      <c r="E11" s="26" t="inlineStr">
        <is>
          <t>T4</t>
        </is>
      </c>
      <c r="F11" s="25" t="inlineStr">
        <is>
          <t>This closes the assistance cycle. The goal is to deliver the object, not only to pick it up.</t>
        </is>
      </c>
    </row>
    <row r="12" ht="23.85" customHeight="1" s="17">
      <c r="A12" s="25" t="inlineStr">
        <is>
          <t>RF-09</t>
        </is>
      </c>
      <c r="B12" s="25" t="inlineStr">
        <is>
          <t>The operator must be able to take manual control (keyboard or gamepad) at any time, with priority over autonomous control.</t>
        </is>
      </c>
      <c r="C12" s="26" t="inlineStr">
        <is>
          <t>High</t>
        </is>
      </c>
      <c r="D12" s="28" t="inlineStr">
        <is>
          <t>Gustavo</t>
        </is>
      </c>
      <c r="E12" s="26" t="inlineStr">
        <is>
          <t>T4</t>
        </is>
      </c>
      <c r="F12" s="25" t="inlineStr">
        <is>
          <t>Safety requirement for assistive applications. The toolkit already offers merge_proportional, where the human wins.</t>
        </is>
      </c>
    </row>
    <row r="13" ht="23.85" customHeight="1" s="17">
      <c r="A13" s="25" t="inlineStr">
        <is>
          <t>RF-10</t>
        </is>
      </c>
      <c r="B13" s="25" t="inlineStr">
        <is>
          <t>The system must give feedback about the robot state to the user (visual or audio: searching, grasping, delivering).</t>
        </is>
      </c>
      <c r="C13" s="26" t="inlineStr">
        <is>
          <t>Medium</t>
        </is>
      </c>
      <c r="D13" s="27" t="inlineStr">
        <is>
          <t>Luis</t>
        </is>
      </c>
      <c r="E13" s="26" t="inlineStr">
        <is>
          <t>T8</t>
        </is>
      </c>
      <c r="F13" s="25" t="inlineStr">
        <is>
          <t>An assisted user needs to know what is happening, which improves trust and usability.</t>
        </is>
      </c>
    </row>
    <row r="14" ht="35.05" customHeight="1" s="17">
      <c r="A14" s="25" t="inlineStr">
        <is>
          <t>RF-11</t>
        </is>
      </c>
      <c r="B14" s="25" t="inlineStr">
        <is>
          <t>The full behavior must be orchestrated through a state machine (SEARCH, APPROACH, ALIGN, GRASP, RETURN, RELEASE).</t>
        </is>
      </c>
      <c r="C14" s="26" t="inlineStr">
        <is>
          <t>High</t>
        </is>
      </c>
      <c r="D14" s="28" t="inlineStr">
        <is>
          <t>Gustavo</t>
        </is>
      </c>
      <c r="E14" s="26" t="inlineStr">
        <is>
          <t>T4</t>
        </is>
      </c>
      <c r="F14" s="25" t="inlineStr">
        <is>
          <t>It structures the system, eases debugging and allows error transitions. The toolkit includes StateController.</t>
        </is>
      </c>
    </row>
    <row r="15" ht="23.85" customHeight="1" s="17">
      <c r="A15" s="25" t="inlineStr">
        <is>
          <t>RF-12</t>
        </is>
      </c>
      <c r="B15" s="25" t="inlineStr">
        <is>
          <t>The system must run without code changes both in simulation and on the physical robot.</t>
        </is>
      </c>
      <c r="C15" s="26" t="inlineStr">
        <is>
          <t>Medium</t>
        </is>
      </c>
      <c r="D15" s="28" t="inlineStr">
        <is>
          <t>Gustavo</t>
        </is>
      </c>
      <c r="E15" s="26" t="inlineStr">
        <is>
          <t>T5</t>
        </is>
      </c>
      <c r="F15" s="25" t="inlineStr">
        <is>
          <t>This is the explicit goal of being easy to apply to the physical robot, achieved by using only the stretch_toolkit API.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16" min="1" max="1"/>
    <col width="55" customWidth="1" style="16" min="2" max="2"/>
    <col width="16" customWidth="1" style="16" min="3" max="3"/>
    <col width="11" customWidth="1" style="16" min="4" max="4"/>
    <col width="55" customWidth="1" style="16" min="5" max="5"/>
  </cols>
  <sheetData>
    <row r="1" ht="17.35" customHeight="1" s="17">
      <c r="A1" s="18" t="inlineStr">
        <is>
          <t>Non-Functional Requirements</t>
        </is>
      </c>
    </row>
    <row r="3" ht="15" customHeight="1" s="17">
      <c r="A3" s="24" t="inlineStr">
        <is>
          <t>ID</t>
        </is>
      </c>
      <c r="B3" s="24" t="inlineStr">
        <is>
          <t>Requirement</t>
        </is>
      </c>
      <c r="C3" s="24" t="inlineStr">
        <is>
          <t>Category</t>
        </is>
      </c>
      <c r="D3" s="24" t="inlineStr">
        <is>
          <t>Owner</t>
        </is>
      </c>
      <c r="E3" s="24" t="inlineStr">
        <is>
          <t>Verification criterion</t>
        </is>
      </c>
    </row>
    <row r="4" ht="23.85" customHeight="1" s="17">
      <c r="A4" s="25" t="inlineStr">
        <is>
          <t>RNF-01</t>
        </is>
      </c>
      <c r="B4" s="25" t="inlineStr">
        <is>
          <t>Sim-to-real portability: the same script runs on both backends.</t>
        </is>
      </c>
      <c r="C4" s="26" t="inlineStr">
        <is>
          <t>Portability</t>
        </is>
      </c>
      <c r="D4" s="28" t="inlineStr">
        <is>
          <t>Gustavo</t>
        </is>
      </c>
      <c r="E4" s="25" t="inlineStr">
        <is>
          <t>Code review confirms that only the stretch_toolkit API is used, with no MuJoCo specific calls in the control logic.</t>
        </is>
      </c>
    </row>
    <row r="5" ht="23.85" customHeight="1" s="17">
      <c r="A5" s="25" t="inlineStr">
        <is>
          <t>RNF-02</t>
        </is>
      </c>
      <c r="B5" s="25" t="inlineStr">
        <is>
          <t>Safety: operator control always has priority and a safe stop exists.</t>
        </is>
      </c>
      <c r="C5" s="26" t="inlineStr">
        <is>
          <t>Safety</t>
        </is>
      </c>
      <c r="D5" s="28" t="inlineStr">
        <is>
          <t>Gustavo</t>
        </is>
      </c>
      <c r="E5" s="25" t="inlineStr">
        <is>
          <t>During an autonomous operation, a manual input interrupts and takes over the robot.</t>
        </is>
      </c>
    </row>
    <row r="6" ht="23.85" customHeight="1" s="17">
      <c r="A6" s="25" t="inlineStr">
        <is>
          <t>RNF-03</t>
        </is>
      </c>
      <c r="B6" s="25" t="inlineStr">
        <is>
          <t>Performance: the control loop runs at about 30 Hz with minimal perceptible latency.</t>
        </is>
      </c>
      <c r="C6" s="26" t="inlineStr">
        <is>
          <t>Performance</t>
        </is>
      </c>
      <c r="D6" s="28" t="inlineStr">
        <is>
          <t>Gustavo</t>
        </is>
      </c>
      <c r="E6" s="25" t="inlineStr">
        <is>
          <t>Measure the real loop frequency and disable unused cameras if performance drops.</t>
        </is>
      </c>
    </row>
    <row r="7" ht="23.85" customHeight="1" s="17">
      <c r="A7" s="25" t="inlineStr">
        <is>
          <t>RNF-04</t>
        </is>
      </c>
      <c r="B7" s="25" t="inlineStr">
        <is>
          <t>Usability and accessibility: the interface is operable by a person with reduced mobility.</t>
        </is>
      </c>
      <c r="C7" s="26" t="inlineStr">
        <is>
          <t>Usability</t>
        </is>
      </c>
      <c r="D7" s="27" t="inlineStr">
        <is>
          <t>Luis</t>
        </is>
      </c>
      <c r="E7" s="25" t="inlineStr">
        <is>
          <t>Scenario test: complete a request using only voice or a single large button.</t>
        </is>
      </c>
    </row>
    <row r="8" ht="23.85" customHeight="1" s="17">
      <c r="A8" s="25" t="inlineStr">
        <is>
          <t>RNF-05</t>
        </is>
      </c>
      <c r="B8" s="25" t="inlineStr">
        <is>
          <t>Robustness: the system handles object not found and grasp failure with retries or a controlled abort.</t>
        </is>
      </c>
      <c r="C8" s="26" t="inlineStr">
        <is>
          <t>Reliability</t>
        </is>
      </c>
      <c r="D8" s="28" t="inlineStr">
        <is>
          <t>Gustavo</t>
        </is>
      </c>
      <c r="E8" s="25" t="inlineStr">
        <is>
          <t>Hide the object and force a failed grasp, then confirm the system does not hang.</t>
        </is>
      </c>
    </row>
    <row r="9" ht="23.85" customHeight="1" s="17">
      <c r="A9" s="25" t="inlineStr">
        <is>
          <t>RNF-06</t>
        </is>
      </c>
      <c r="B9" s="25" t="inlineStr">
        <is>
          <t>Zero cost and no extra hardware: everything runs in the simulator with the laptop microphone.</t>
        </is>
      </c>
      <c r="C9" s="26" t="inlineStr">
        <is>
          <t>Constraint</t>
        </is>
      </c>
      <c r="D9" s="27" t="inlineStr">
        <is>
          <t>Luis</t>
        </is>
      </c>
      <c r="E9" s="25" t="inlineStr">
        <is>
          <t>The full project runs without any purchase.</t>
        </is>
      </c>
    </row>
    <row r="10" ht="23.85" customHeight="1" s="17">
      <c r="A10" s="25" t="inlineStr">
        <is>
          <t>RNF-07</t>
        </is>
      </c>
      <c r="B10" s="25" t="inlineStr">
        <is>
          <t>Maintainability: modular code with parameters adjustable through a configuration file (JSON hot reload).</t>
        </is>
      </c>
      <c r="C10" s="26" t="inlineStr">
        <is>
          <t>Maintainability</t>
        </is>
      </c>
      <c r="D10" s="28" t="inlineStr">
        <is>
          <t>Gustavo</t>
        </is>
      </c>
      <c r="E10" s="25" t="inlineStr">
        <is>
          <t>Changing a gain or a speed value in JSON takes effect without restarting.</t>
        </is>
      </c>
    </row>
    <row r="11" ht="23.85" customHeight="1" s="17">
      <c r="A11" s="25" t="inlineStr">
        <is>
          <t>RNF-08</t>
        </is>
      </c>
      <c r="B11" s="25" t="inlineStr">
        <is>
          <t>Reproducibility: the project installs and runs with uv run following the README on Windows, macOS and Linux.</t>
        </is>
      </c>
      <c r="C11" s="26" t="inlineStr">
        <is>
          <t>Reproducibility</t>
        </is>
      </c>
      <c r="D11" s="28" t="inlineStr">
        <is>
          <t>Gustavo</t>
        </is>
      </c>
      <c r="E11" s="25" t="inlineStr">
        <is>
          <t>A third party clones the repo and runs the demo by following the document.</t>
        </is>
      </c>
    </row>
    <row r="12" ht="23.85" customHeight="1" s="17">
      <c r="A12" s="25" t="inlineStr">
        <is>
          <t>RNF-09</t>
        </is>
      </c>
      <c r="B12" s="25" t="inlineStr">
        <is>
          <t>Success metric: successful grasp and delivery rate of at least 70 percent over N attempts.</t>
        </is>
      </c>
      <c r="C12" s="26" t="inlineStr">
        <is>
          <t>Quality</t>
        </is>
      </c>
      <c r="D12" s="27" t="inlineStr">
        <is>
          <t>Luis</t>
        </is>
      </c>
      <c r="E12" s="25" t="inlineStr">
        <is>
          <t>Log of N runs counting successes and failures.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6" min="1" max="1"/>
    <col width="58" customWidth="1" style="16" min="2" max="2"/>
    <col width="11" customWidth="1" style="16" min="3" max="3"/>
    <col width="8" customWidth="1" style="16" min="4" max="4"/>
    <col width="30" customWidth="1" style="16" min="5" max="5"/>
    <col width="40" customWidth="1" style="16" min="6" max="6"/>
  </cols>
  <sheetData>
    <row r="1" ht="17.35" customHeight="1" s="17">
      <c r="A1" s="18" t="inlineStr">
        <is>
          <t>Task Breakdown (Work Packages)</t>
        </is>
      </c>
    </row>
    <row r="3" ht="15" customHeight="1" s="17">
      <c r="A3" s="24" t="inlineStr">
        <is>
          <t>Task</t>
        </is>
      </c>
      <c r="B3" s="24" t="inlineStr">
        <is>
          <t>Description</t>
        </is>
      </c>
      <c r="C3" s="24" t="inlineStr">
        <is>
          <t>Owner</t>
        </is>
      </c>
      <c r="D3" s="24" t="inlineStr">
        <is>
          <t>Hours</t>
        </is>
      </c>
      <c r="E3" s="24" t="inlineStr">
        <is>
          <t>Requirements covered</t>
        </is>
      </c>
      <c r="F3" s="24" t="inlineStr">
        <is>
          <t>Deliverable</t>
        </is>
      </c>
    </row>
    <row r="4" ht="23.85" customHeight="1" s="17">
      <c r="A4" s="25" t="inlineStr">
        <is>
          <t>T0</t>
        </is>
      </c>
      <c r="B4" s="25" t="inlineStr">
        <is>
          <t>Environment setup, repo study (teleop_demo.py, visual_servoing.py, stretch_toolkit) and a short literature review on assistive robotics.</t>
        </is>
      </c>
      <c r="C4" s="28" t="inlineStr">
        <is>
          <t>Gustavo</t>
        </is>
      </c>
      <c r="D4" s="26" t="n">
        <v>8</v>
      </c>
      <c r="E4" s="25" t="inlineStr">
        <is>
          <t>RNF-08</t>
        </is>
      </c>
      <c r="F4" s="25" t="inlineStr">
        <is>
          <t>Working environment and architecture notes.</t>
        </is>
      </c>
    </row>
    <row r="5" ht="23.85" customHeight="1" s="17">
      <c r="A5" s="25" t="inlineStr">
        <is>
          <t>T1</t>
        </is>
      </c>
      <c r="B5" s="25" t="inlineStr">
        <is>
          <t>Perception module: ArUco marker detection for the three target objects (IDs 0-2) and 3D position estimation (marker centroid, depth, and camera intrinsics).</t>
        </is>
      </c>
      <c r="C5" s="28" t="inlineStr">
        <is>
          <t>Gustavo</t>
        </is>
      </c>
      <c r="D5" s="26" t="n">
        <v>14</v>
      </c>
      <c r="E5" s="25" t="inlineStr">
        <is>
          <t>RF-02, RF-03</t>
        </is>
      </c>
      <c r="F5" s="25" t="inlineStr">
        <is>
          <t>perception.py with detect_object(frame, depth_frame) returning object name, ArUco ID, and 3D position.</t>
        </is>
      </c>
    </row>
    <row r="6" ht="23.85" customHeight="1" s="17">
      <c r="A6" s="25" t="inlineStr">
        <is>
          <t>T2</t>
        </is>
      </c>
      <c r="B6" s="25" t="inlineStr">
        <is>
          <t>Autonomous search and approach: rotate base and head to locate the object and use base velocity control to get closer.</t>
        </is>
      </c>
      <c r="C6" s="28" t="inlineStr">
        <is>
          <t>Gustavo</t>
        </is>
      </c>
      <c r="D6" s="26" t="n">
        <v>16</v>
      </c>
      <c r="E6" s="25" t="inlineStr">
        <is>
          <t>RF-04, RF-05, RNF-03</t>
        </is>
      </c>
      <c r="F6" s="25" t="inlineStr">
        <is>
          <t>search() and approach() behaviors.</t>
        </is>
      </c>
    </row>
    <row r="7" ht="23.85" customHeight="1" s="17">
      <c r="A7" s="25" t="inlineStr">
        <is>
          <t>T3</t>
        </is>
      </c>
      <c r="B7" s="25" t="inlineStr">
        <is>
          <t>Grasp pipeline: visual servoing alignment with the wrist camera, gripper close and grasp verification.</t>
        </is>
      </c>
      <c r="C7" s="28" t="inlineStr">
        <is>
          <t>Gustavo</t>
        </is>
      </c>
      <c r="D7" s="26" t="n">
        <v>16</v>
      </c>
      <c r="E7" s="25" t="inlineStr">
        <is>
          <t>RF-06, RF-07</t>
        </is>
      </c>
      <c r="F7" s="25" t="inlineStr">
        <is>
          <t>grasp() behavior with verification.</t>
        </is>
      </c>
    </row>
    <row r="8" ht="23.85" customHeight="1" s="17">
      <c r="A8" s="25" t="inlineStr">
        <is>
          <t>T4</t>
        </is>
      </c>
      <c r="B8" s="25" t="inlineStr">
        <is>
          <t>State machine integration (SEARCH to RELEASE) plus manual override and error transitions.</t>
        </is>
      </c>
      <c r="C8" s="28" t="inlineStr">
        <is>
          <t>Gustavo</t>
        </is>
      </c>
      <c r="D8" s="26" t="n">
        <v>12</v>
      </c>
      <c r="E8" s="25" t="inlineStr">
        <is>
          <t>RF-08, RF-09, RF-11, RNF-02, RNF-05</t>
        </is>
      </c>
      <c r="F8" s="25" t="inlineStr">
        <is>
          <t>state_machine.py running end to end.</t>
        </is>
      </c>
    </row>
    <row r="9" ht="15" customHeight="1" s="17">
      <c r="A9" s="25" t="inlineStr">
        <is>
          <t>T5</t>
        </is>
      </c>
      <c r="B9" s="25" t="inlineStr">
        <is>
          <t>Sim-to-real validation, gain tuning through JSON and a test matrix.</t>
        </is>
      </c>
      <c r="C9" s="28" t="inlineStr">
        <is>
          <t>Gustavo</t>
        </is>
      </c>
      <c r="D9" s="26" t="n">
        <v>8</v>
      </c>
      <c r="E9" s="25" t="inlineStr">
        <is>
          <t>RF-12, RNF-01, RNF-07</t>
        </is>
      </c>
      <c r="F9" s="25" t="inlineStr">
        <is>
          <t>Compatibility report and tuned config.</t>
        </is>
      </c>
    </row>
    <row r="10" ht="15" customHeight="1" s="17">
      <c r="A10" s="25" t="inlineStr">
        <is>
          <t>T6</t>
        </is>
      </c>
      <c r="B10" s="25" t="inlineStr">
        <is>
          <t>Technical documentation and the technical section of the final report.</t>
        </is>
      </c>
      <c r="C10" s="28" t="inlineStr">
        <is>
          <t>Gustavo</t>
        </is>
      </c>
      <c r="D10" s="26" t="n">
        <v>6</v>
      </c>
      <c r="E10" s="25" t="inlineStr">
        <is>
          <t>Deliverables</t>
        </is>
      </c>
      <c r="F10" s="25" t="inlineStr">
        <is>
          <t>Technical section of the report.</t>
        </is>
      </c>
    </row>
    <row r="11" ht="23.85" customHeight="1" s="17">
      <c r="A11" s="25" t="inlineStr">
        <is>
          <t>T7</t>
        </is>
      </c>
      <c r="B11" s="25" t="inlineStr">
        <is>
          <t>Accessible command interface: offline voice recognition (Vosk or speech_recognition) or a large button GUI that emits the target object.</t>
        </is>
      </c>
      <c r="C11" s="27" t="inlineStr">
        <is>
          <t>Luis</t>
        </is>
      </c>
      <c r="D11" s="26" t="n">
        <v>12</v>
      </c>
      <c r="E11" s="25" t="inlineStr">
        <is>
          <t>RF-01, RNF-04</t>
        </is>
      </c>
      <c r="F11" s="25" t="inlineStr">
        <is>
          <t>accessible_ui.py.</t>
        </is>
      </c>
    </row>
    <row r="12" ht="23.85" customHeight="1" s="17">
      <c r="A12" s="25" t="inlineStr">
        <is>
          <t>T8</t>
        </is>
      </c>
      <c r="B12" s="25" t="inlineStr">
        <is>
          <t>State feedback to the user plus accessibility design and use scenarios with personas.</t>
        </is>
      </c>
      <c r="C12" s="27" t="inlineStr">
        <is>
          <t>Luis</t>
        </is>
      </c>
      <c r="D12" s="26" t="n">
        <v>6</v>
      </c>
      <c r="E12" s="25" t="inlineStr">
        <is>
          <t>RF-10, RNF-04</t>
        </is>
      </c>
      <c r="F12" s="25" t="inlineStr">
        <is>
          <t>Feedback module and scenarios document.</t>
        </is>
      </c>
    </row>
    <row r="13" ht="23.85" customHeight="1" s="17">
      <c r="A13" s="25" t="inlineStr">
        <is>
          <t>T9</t>
        </is>
      </c>
      <c r="B13" s="25" t="inlineStr">
        <is>
          <t>Testing and data collection: run N trials, log success rate, failure cases and override evidence.</t>
        </is>
      </c>
      <c r="C13" s="27" t="inlineStr">
        <is>
          <t>Luis</t>
        </is>
      </c>
      <c r="D13" s="26" t="n">
        <v>6</v>
      </c>
      <c r="E13" s="25" t="inlineStr">
        <is>
          <t>RNF-06, RNF-09</t>
        </is>
      </c>
      <c r="F13" s="25" t="inlineStr">
        <is>
          <t>Results table (successes and failures).</t>
        </is>
      </c>
    </row>
    <row r="14" ht="23.85" customHeight="1" s="17">
      <c r="A14" s="25" t="inlineStr">
        <is>
          <t>T10</t>
        </is>
      </c>
      <c r="B14" s="25" t="inlineStr">
        <is>
          <t>Evidence production: demonstration video, screenshots (RoboCasa and result) and report sections.</t>
        </is>
      </c>
      <c r="C14" s="27" t="inlineStr">
        <is>
          <t>Luis</t>
        </is>
      </c>
      <c r="D14" s="26" t="n">
        <v>6</v>
      </c>
      <c r="E14" s="25" t="inlineStr">
        <is>
          <t>Deliverables</t>
        </is>
      </c>
      <c r="F14" s="25" t="inlineStr">
        <is>
          <t>Video, screenshots and report sections.</t>
        </is>
      </c>
    </row>
    <row r="15" ht="15" customHeight="1" s="17">
      <c r="A15" s="29" t="inlineStr">
        <is>
          <t>TOTAL</t>
        </is>
      </c>
      <c r="B15" s="29" t="n"/>
      <c r="C15" s="29" t="n"/>
      <c r="D15" s="29">
        <f>SUM(D4:D14)</f>
        <v/>
      </c>
      <c r="E15" s="29" t="n"/>
      <c r="F15" s="2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6" min="1" max="1"/>
    <col width="60" customWidth="1" style="16" min="2" max="2"/>
    <col width="10" customWidth="1" style="16" min="3" max="3"/>
  </cols>
  <sheetData>
    <row r="1" ht="17.35" customHeight="1" s="17">
      <c r="A1" s="18" t="inlineStr">
        <is>
          <t>Hours Summary</t>
        </is>
      </c>
    </row>
    <row r="3" ht="15" customHeight="1" s="17">
      <c r="A3" s="24" t="inlineStr">
        <is>
          <t>Person</t>
        </is>
      </c>
      <c r="B3" s="24" t="inlineStr">
        <is>
          <t>Role</t>
        </is>
      </c>
      <c r="C3" s="24" t="inlineStr">
        <is>
          <t>Hours</t>
        </is>
      </c>
    </row>
    <row r="4" ht="15" customHeight="1" s="17">
      <c r="A4" s="30" t="inlineStr">
        <is>
          <t>Gustavo</t>
        </is>
      </c>
      <c r="B4" s="25" t="inlineStr">
        <is>
          <t>Technical lead (perception, navigation, grasping, integration)</t>
        </is>
      </c>
      <c r="C4" s="26">
        <f>'Task Breakdown'!D4+'Task Breakdown'!D5+'Task Breakdown'!D6+'Task Breakdown'!D7+'Task Breakdown'!D8+'Task Breakdown'!D9+'Task Breakdown'!D10</f>
        <v/>
      </c>
    </row>
    <row r="5" ht="15" customHeight="1" s="17">
      <c r="A5" s="31" t="inlineStr">
        <is>
          <t>Luis</t>
        </is>
      </c>
      <c r="B5" s="25" t="inlineStr">
        <is>
          <t>Interface and evidence (accessible UI, feedback, testing, report)</t>
        </is>
      </c>
      <c r="C5" s="26">
        <f>'Task Breakdown'!D11+'Task Breakdown'!D12+'Task Breakdown'!D13+'Task Breakdown'!D14</f>
        <v/>
      </c>
    </row>
    <row r="6" ht="15" customHeight="1" s="17">
      <c r="A6" s="32" t="inlineStr">
        <is>
          <t>TOTAL</t>
        </is>
      </c>
      <c r="B6" s="32" t="n"/>
      <c r="C6" s="29">
        <f>SUM(C4:C5)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2026-05-26T02:14:14Z</dcterms:created>
  <dcterms:modified xsi:type="dcterms:W3CDTF">2026-05-26T16:38:29Z</dcterms:modified>
  <cp:revision>0</cp:revision>
</cp:coreProperties>
</file>