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Functional Requirements" sheetId="2" state="visible" r:id="rId4"/>
    <sheet name="Non-Functional Requirements" sheetId="3" state="visible" r:id="rId5"/>
    <sheet name="Task Breakdown" sheetId="4" state="visible" r:id="rId6"/>
    <sheet name="Hours 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<sst xmlns="http://schemas.openxmlformats.org/spreadsheetml/2006/main" count="225" uniqueCount="159">
  <si>
    <t xml:space="preserve">Stretch Assist</t>
  </si>
  <si>
    <t xml:space="preserve">Autonomous object retrieval and delivery through an accessible command interface</t>
  </si>
  <si>
    <t xml:space="preserve">Course</t>
  </si>
  <si>
    <t xml:space="preserve">Robotics and Cyber-Physical Systems</t>
  </si>
  <si>
    <t xml:space="preserve">Institution</t>
  </si>
  <si>
    <t xml:space="preserve">School of Sciences and Engineering, Tecnologico de Monterrey</t>
  </si>
  <si>
    <t xml:space="preserve">Platform</t>
  </si>
  <si>
    <t xml:space="preserve">Stretch MuJoCo Digital Twin (stretch_mujoco_digital_twin)</t>
  </si>
  <si>
    <t xml:space="preserve">Team</t>
  </si>
  <si>
    <t xml:space="preserve">Gustavo (technical lead, 80 h) and Luis (interface and evidence, 30 h)</t>
  </si>
  <si>
    <t xml:space="preserve">Total effort</t>
  </si>
  <si>
    <t xml:space="preserve">110 h</t>
  </si>
  <si>
    <t xml:space="preserve">Document version</t>
  </si>
  <si>
    <t xml:space="preserve">1.0</t>
  </si>
  <si>
    <t xml:space="preserve">Sheets in this workbook</t>
  </si>
  <si>
    <t xml:space="preserve">Functional Requirements</t>
  </si>
  <si>
    <t xml:space="preserve">What the system must do (RF-01 to RF-12).</t>
  </si>
  <si>
    <t xml:space="preserve">Non-Functional Requirements</t>
  </si>
  <si>
    <t xml:space="preserve">Quality attributes and constraints (RNF-01 to RNF-09).</t>
  </si>
  <si>
    <t xml:space="preserve">Task Breakdown</t>
  </si>
  <si>
    <t xml:space="preserve">Work packages with owner, hours and the requirements each one covers.</t>
  </si>
  <si>
    <t xml:space="preserve">Hours Summary</t>
  </si>
  <si>
    <t xml:space="preserve">Hours per person, computed from the task breakdown.</t>
  </si>
  <si>
    <t xml:space="preserve">ID</t>
  </si>
  <si>
    <t xml:space="preserve">Requirement</t>
  </si>
  <si>
    <t xml:space="preserve">Priority</t>
  </si>
  <si>
    <t xml:space="preserve">Owner</t>
  </si>
  <si>
    <t xml:space="preserve">Task</t>
  </si>
  <si>
    <t xml:space="preserve">Justification</t>
  </si>
  <si>
    <t xml:space="preserve">RF-01</t>
  </si>
  <si>
    <t xml:space="preserve">The system must let the user select the target object through an accessible command (voice or large button).</t>
  </si>
  <si>
    <t xml:space="preserve">High</t>
  </si>
  <si>
    <t xml:space="preserve">Luis</t>
  </si>
  <si>
    <t xml:space="preserve">T7</t>
  </si>
  <si>
    <t xml:space="preserve">It is the entry point that delivers the accessibility value. A user with reduced mobility cannot use a keyboard or gamepad.</t>
  </si>
  <si>
    <t xml:space="preserve">RF-02</t>
  </si>
  <si>
    <t xml:space="preserve">The system must detect the target object by color (HSV segmentation) in the RGB frame of the head camera.</t>
  </si>
  <si>
    <t xml:space="preserve">Gustavo</t>
  </si>
  <si>
    <t xml:space="preserve">T1</t>
  </si>
  <si>
    <t xml:space="preserve">It is the base of all autonomy, and the repo already ships a reusable color detection example.</t>
  </si>
  <si>
    <t xml:space="preserve">RF-03</t>
  </si>
  <si>
    <t xml:space="preserve">The system must estimate the 3D position of the object by combining the image centroid, the pixel depth and the camera intrinsics.</t>
  </si>
  <si>
    <t xml:space="preserve">Without a 3D position the robot cannot approach or grasp. The toolkit already exposes get_depth(pixel, depth_frame).</t>
  </si>
  <si>
    <t xml:space="preserve">RF-04</t>
  </si>
  <si>
    <t xml:space="preserve">The robot must run an autonomous search (rotating the base and head) until it locates the object when it is outside the initial field of view.</t>
  </si>
  <si>
    <t xml:space="preserve">T2</t>
  </si>
  <si>
    <t xml:space="preserve">The object will not always be in front of the robot, so the search makes the system genuinely autonomous.</t>
  </si>
  <si>
    <t xml:space="preserve">RF-05</t>
  </si>
  <si>
    <t xml:space="preserve">The robot must approach the object autonomously using base velocity control.</t>
  </si>
  <si>
    <t xml:space="preserve">The object is usually outside the arm reach, so the mobile base has to reposition.</t>
  </si>
  <si>
    <t xml:space="preserve">RF-06</t>
  </si>
  <si>
    <t xml:space="preserve">The robot must perform fine alignment of the end effector through visual servoing with the wrist camera.</t>
  </si>
  <si>
    <t xml:space="preserve">T3</t>
  </si>
  <si>
    <t xml:space="preserve">Base approach is not precise enough to grasp, so the wrist camera corrects the residual error.</t>
  </si>
  <si>
    <t xml:space="preserve">RF-07</t>
  </si>
  <si>
    <t xml:space="preserve">The robot must close the gripper on the object and verify that the grasp succeeded.</t>
  </si>
  <si>
    <t xml:space="preserve">Grasping without verification produces false successes, so verification enables retries (see RNF-05).</t>
  </si>
  <si>
    <t xml:space="preserve">RF-08</t>
  </si>
  <si>
    <t xml:space="preserve">The robot must return to the user position and release or hand over the object.</t>
  </si>
  <si>
    <t xml:space="preserve">T4</t>
  </si>
  <si>
    <t xml:space="preserve">This closes the assistance cycle. The goal is to deliver the object, not only to pick it up.</t>
  </si>
  <si>
    <t xml:space="preserve">RF-09</t>
  </si>
  <si>
    <t xml:space="preserve">The operator must be able to take manual control (keyboard or gamepad) at any time, with priority over autonomous control.</t>
  </si>
  <si>
    <t xml:space="preserve">Safety requirement for assistive applications. The toolkit already offers merge_proportional, where the human wins.</t>
  </si>
  <si>
    <t xml:space="preserve">RF-10</t>
  </si>
  <si>
    <t xml:space="preserve">The system must give feedback about the robot state to the user (visual or audio: searching, grasping, delivering).</t>
  </si>
  <si>
    <t xml:space="preserve">Medium</t>
  </si>
  <si>
    <t xml:space="preserve">T8</t>
  </si>
  <si>
    <t xml:space="preserve">An assisted user needs to know what is happening, which improves trust and usability.</t>
  </si>
  <si>
    <t xml:space="preserve">RF-11</t>
  </si>
  <si>
    <t xml:space="preserve">The full behavior must be orchestrated through a state machine (SEARCH, APPROACH, ALIGN, GRASP, RETURN, RELEASE).</t>
  </si>
  <si>
    <t xml:space="preserve">It structures the system, eases debugging and allows error transitions. The toolkit includes StateController.</t>
  </si>
  <si>
    <t xml:space="preserve">RF-12</t>
  </si>
  <si>
    <t xml:space="preserve">The system must run without code changes both in simulation and on the physical robot.</t>
  </si>
  <si>
    <t xml:space="preserve">T5</t>
  </si>
  <si>
    <t xml:space="preserve">This is the explicit goal of being easy to apply to the physical robot, achieved by using only the stretch_toolkit API.</t>
  </si>
  <si>
    <t xml:space="preserve">Category</t>
  </si>
  <si>
    <t xml:space="preserve">Verification criterion</t>
  </si>
  <si>
    <t xml:space="preserve">RNF-01</t>
  </si>
  <si>
    <t xml:space="preserve">Sim-to-real portability: the same script runs on both backends.</t>
  </si>
  <si>
    <t xml:space="preserve">Portability</t>
  </si>
  <si>
    <t xml:space="preserve">Code review confirms that only the stretch_toolkit API is used, with no MuJoCo specific calls in the control logic.</t>
  </si>
  <si>
    <t xml:space="preserve">RNF-02</t>
  </si>
  <si>
    <t xml:space="preserve">Safety: operator control always has priority and a safe stop exists.</t>
  </si>
  <si>
    <t xml:space="preserve">Safety</t>
  </si>
  <si>
    <t xml:space="preserve">During an autonomous operation, a manual input interrupts and takes over the robot.</t>
  </si>
  <si>
    <t xml:space="preserve">RNF-03</t>
  </si>
  <si>
    <t xml:space="preserve">Performance: the control loop runs at about 30 Hz with minimal perceptible latency.</t>
  </si>
  <si>
    <t xml:space="preserve">Performance</t>
  </si>
  <si>
    <t xml:space="preserve">Measure the real loop frequency and disable unused cameras if performance drops.</t>
  </si>
  <si>
    <t xml:space="preserve">RNF-04</t>
  </si>
  <si>
    <t xml:space="preserve">Usability and accessibility: the interface is operable by a person with reduced mobility.</t>
  </si>
  <si>
    <t xml:space="preserve">Usability</t>
  </si>
  <si>
    <t xml:space="preserve">Scenario test: complete a request using only voice or a single large button.</t>
  </si>
  <si>
    <t xml:space="preserve">RNF-05</t>
  </si>
  <si>
    <t xml:space="preserve">Robustness: the system handles object not found and grasp failure with retries or a controlled abort.</t>
  </si>
  <si>
    <t xml:space="preserve">Reliability</t>
  </si>
  <si>
    <t xml:space="preserve">Hide the object and force a failed grasp, then confirm the system does not hang.</t>
  </si>
  <si>
    <t xml:space="preserve">RNF-06</t>
  </si>
  <si>
    <t xml:space="preserve">Zero cost and no extra hardware: everything runs in the simulator with the laptop microphone.</t>
  </si>
  <si>
    <t xml:space="preserve">Constraint</t>
  </si>
  <si>
    <t xml:space="preserve">The full project runs without any purchase.</t>
  </si>
  <si>
    <t xml:space="preserve">RNF-07</t>
  </si>
  <si>
    <t xml:space="preserve">Maintainability: modular code with parameters adjustable through a configuration file (JSON hot reload).</t>
  </si>
  <si>
    <t xml:space="preserve">Maintainability</t>
  </si>
  <si>
    <t xml:space="preserve">Changing a gain or a speed value in JSON takes effect without restarting.</t>
  </si>
  <si>
    <t xml:space="preserve">RNF-08</t>
  </si>
  <si>
    <t xml:space="preserve">Reproducibility: the project installs and runs with uv run following the README on Windows, macOS and Linux.</t>
  </si>
  <si>
    <t xml:space="preserve">Reproducibility</t>
  </si>
  <si>
    <t xml:space="preserve">A third party clones the repo and runs the demo by following the document.</t>
  </si>
  <si>
    <t xml:space="preserve">RNF-09</t>
  </si>
  <si>
    <t xml:space="preserve">Success metric: successful grasp and delivery rate of at least 70 percent over N attempts.</t>
  </si>
  <si>
    <t xml:space="preserve">Quality</t>
  </si>
  <si>
    <t xml:space="preserve">Log of N runs counting successes and failures.</t>
  </si>
  <si>
    <t xml:space="preserve">Task Breakdown (Work Packages)</t>
  </si>
  <si>
    <t xml:space="preserve">Description</t>
  </si>
  <si>
    <t xml:space="preserve">Hours</t>
  </si>
  <si>
    <t xml:space="preserve">Requirements covered</t>
  </si>
  <si>
    <t xml:space="preserve">Deliverable</t>
  </si>
  <si>
    <t xml:space="preserve">T0</t>
  </si>
  <si>
    <t xml:space="preserve">Environment setup, repo study (teleop_demo.py, visual_servoing.py, stretch_toolkit) and a short literature review on assistive robotics.</t>
  </si>
  <si>
    <t xml:space="preserve">Working environment and architecture notes.</t>
  </si>
  <si>
    <t xml:space="preserve">Perception module: multi object color detection (HSV) and 3D position estimation (pixel, depth and intrinsics).</t>
  </si>
  <si>
    <t xml:space="preserve">RF-02, RF-03</t>
  </si>
  <si>
    <t xml:space="preserve">perception.py with detect_object(color).</t>
  </si>
  <si>
    <t xml:space="preserve">Autonomous search and approach: rotate base and head to locate the object and use base velocity control to get closer.</t>
  </si>
  <si>
    <t xml:space="preserve">RF-04, RF-05, RNF-03</t>
  </si>
  <si>
    <t xml:space="preserve">search() and approach() behaviors.</t>
  </si>
  <si>
    <t xml:space="preserve">Grasp pipeline: visual servoing alignment with the wrist camera, gripper close and grasp verification.</t>
  </si>
  <si>
    <t xml:space="preserve">RF-06, RF-07</t>
  </si>
  <si>
    <t xml:space="preserve">grasp() behavior with verification.</t>
  </si>
  <si>
    <t xml:space="preserve">State machine integration (SEARCH to RELEASE) plus manual override and error transitions.</t>
  </si>
  <si>
    <t xml:space="preserve">RF-08, RF-09, RF-11, RNF-02, RNF-05</t>
  </si>
  <si>
    <t xml:space="preserve">state_machine.py running end to end.</t>
  </si>
  <si>
    <t xml:space="preserve">Sim-to-real validation, gain tuning through JSON and a test matrix.</t>
  </si>
  <si>
    <t xml:space="preserve">RF-12, RNF-01, RNF-07</t>
  </si>
  <si>
    <t xml:space="preserve">Compatibility report and tuned config.</t>
  </si>
  <si>
    <t xml:space="preserve">T6</t>
  </si>
  <si>
    <t xml:space="preserve">Technical documentation and the technical section of the final report.</t>
  </si>
  <si>
    <t xml:space="preserve">Deliverables</t>
  </si>
  <si>
    <t xml:space="preserve">Technical section of the report.</t>
  </si>
  <si>
    <t xml:space="preserve">Accessible command interface: offline voice recognition (Vosk or speech_recognition) or a large button GUI that emits the target object.</t>
  </si>
  <si>
    <t xml:space="preserve">RF-01, RNF-04</t>
  </si>
  <si>
    <t xml:space="preserve">accessible_ui.py.</t>
  </si>
  <si>
    <t xml:space="preserve">State feedback to the user plus accessibility design and use scenarios with personas.</t>
  </si>
  <si>
    <t xml:space="preserve">RF-10, RNF-04</t>
  </si>
  <si>
    <t xml:space="preserve">Feedback module and scenarios document.</t>
  </si>
  <si>
    <t xml:space="preserve">T9</t>
  </si>
  <si>
    <t xml:space="preserve">Testing and data collection: run N trials, log success rate, failure cases and override evidence.</t>
  </si>
  <si>
    <t xml:space="preserve">RNF-06, RNF-09</t>
  </si>
  <si>
    <t xml:space="preserve">Results table (successes and failures).</t>
  </si>
  <si>
    <t xml:space="preserve">T10</t>
  </si>
  <si>
    <t xml:space="preserve">Evidence production: demonstration video, screenshots (RoboCasa and result) and report sections.</t>
  </si>
  <si>
    <t xml:space="preserve">Video, screenshots and report sections.</t>
  </si>
  <si>
    <t xml:space="preserve">TOTAL</t>
  </si>
  <si>
    <t xml:space="preserve">Person</t>
  </si>
  <si>
    <t xml:space="preserve">Role</t>
  </si>
  <si>
    <t xml:space="preserve">Technical lead (perception, navigation, grasping, integration)</t>
  </si>
  <si>
    <t xml:space="preserve">Interface and evidence (accessible UI, feedback, testing, report)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</si>
</sst>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1" customFormat="false" ht="15" hidden="false" customHeight="false" outlineLevel="0" collapsed="false">
      <c r="A11" s="5" t="s">
        <v>14</v>
      </c>
    </row>
    <row r="12" customFormat="false" ht="15" hidden="false" customHeight="false" outlineLevel="0" collapsed="false">
      <c r="A12" s="6" t="s">
        <v>15</v>
      </c>
      <c r="B12" s="6" t="s">
        <v>16</v>
      </c>
    </row>
    <row r="13" customFormat="false" ht="15" hidden="false" customHeight="false" outlineLevel="0" collapsed="false">
      <c r="A13" s="6" t="s">
        <v>17</v>
      </c>
      <c r="B13" s="6" t="s">
        <v>18</v>
      </c>
    </row>
    <row r="14" customFormat="false" ht="15" hidden="false" customHeight="false" outlineLevel="0" collapsed="false">
      <c r="A14" s="6" t="s">
        <v>19</v>
      </c>
      <c r="B14" s="6" t="s">
        <v>20</v>
      </c>
    </row>
    <row r="15" customFormat="false" ht="15" hidden="false" customHeight="false" outlineLevel="0" collapsed="false">
      <c r="A15" s="6" t="s">
        <v>21</v>
      </c>
      <c r="B15" s="6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15</v>
      </c>
    </row>
    <row r="3" customFormat="false" ht="15" hidden="false" customHeight="false" outlineLevel="0" collapsed="false">
      <c r="A3" s="7" t="s">
        <v>23</v>
      </c>
      <c r="B3" s="7" t="s">
        <v>24</v>
      </c>
      <c r="C3" s="7" t="s">
        <v>25</v>
      </c>
      <c r="D3" s="7" t="s">
        <v>26</v>
      </c>
      <c r="E3" s="7" t="s">
        <v>27</v>
      </c>
      <c r="F3" s="7" t="s">
        <v>28</v>
      </c>
    </row>
    <row r="4" customFormat="false" ht="23.85" hidden="false" customHeight="false" outlineLevel="0" collapsed="false">
      <c r="A4" s="8" t="s">
        <v>29</v>
      </c>
      <c r="B4" s="8" t="s">
        <v>30</v>
      </c>
      <c r="C4" s="9" t="s">
        <v>31</v>
      </c>
      <c r="D4" s="10" t="s">
        <v>32</v>
      </c>
      <c r="E4" s="9" t="s">
        <v>33</v>
      </c>
      <c r="F4" s="8" t="s">
        <v>34</v>
      </c>
    </row>
    <row r="5" customFormat="false" ht="23.85" hidden="false" customHeight="false" outlineLevel="0" collapsed="false">
      <c r="A5" s="8" t="s">
        <v>35</v>
      </c>
      <c r="B5" s="8" t="s">
        <v>36</v>
      </c>
      <c r="C5" s="9" t="s">
        <v>31</v>
      </c>
      <c r="D5" s="11" t="s">
        <v>37</v>
      </c>
      <c r="E5" s="9" t="s">
        <v>38</v>
      </c>
      <c r="F5" s="8" t="s">
        <v>39</v>
      </c>
    </row>
    <row r="6" customFormat="false" ht="35.05" hidden="false" customHeight="false" outlineLevel="0" collapsed="false">
      <c r="A6" s="8" t="s">
        <v>40</v>
      </c>
      <c r="B6" s="8" t="s">
        <v>41</v>
      </c>
      <c r="C6" s="9" t="s">
        <v>31</v>
      </c>
      <c r="D6" s="11" t="s">
        <v>37</v>
      </c>
      <c r="E6" s="9" t="s">
        <v>38</v>
      </c>
      <c r="F6" s="8" t="s">
        <v>42</v>
      </c>
    </row>
    <row r="7" customFormat="false" ht="35.05" hidden="false" customHeight="false" outlineLevel="0" collapsed="false">
      <c r="A7" s="8" t="s">
        <v>43</v>
      </c>
      <c r="B7" s="8" t="s">
        <v>44</v>
      </c>
      <c r="C7" s="9" t="s">
        <v>31</v>
      </c>
      <c r="D7" s="11" t="s">
        <v>37</v>
      </c>
      <c r="E7" s="9" t="s">
        <v>45</v>
      </c>
      <c r="F7" s="8" t="s">
        <v>46</v>
      </c>
    </row>
    <row r="8" customFormat="false" ht="23.85" hidden="false" customHeight="false" outlineLevel="0" collapsed="false">
      <c r="A8" s="8" t="s">
        <v>47</v>
      </c>
      <c r="B8" s="8" t="s">
        <v>48</v>
      </c>
      <c r="C8" s="9" t="s">
        <v>31</v>
      </c>
      <c r="D8" s="11" t="s">
        <v>37</v>
      </c>
      <c r="E8" s="9" t="s">
        <v>45</v>
      </c>
      <c r="F8" s="8" t="s">
        <v>49</v>
      </c>
    </row>
    <row r="9" customFormat="false" ht="23.85" hidden="false" customHeight="false" outlineLevel="0" collapsed="false">
      <c r="A9" s="8" t="s">
        <v>50</v>
      </c>
      <c r="B9" s="8" t="s">
        <v>51</v>
      </c>
      <c r="C9" s="9" t="s">
        <v>31</v>
      </c>
      <c r="D9" s="11" t="s">
        <v>37</v>
      </c>
      <c r="E9" s="9" t="s">
        <v>52</v>
      </c>
      <c r="F9" s="8" t="s">
        <v>53</v>
      </c>
    </row>
    <row r="10" customFormat="false" ht="23.85" hidden="false" customHeight="false" outlineLevel="0" collapsed="false">
      <c r="A10" s="8" t="s">
        <v>54</v>
      </c>
      <c r="B10" s="8" t="s">
        <v>55</v>
      </c>
      <c r="C10" s="9" t="s">
        <v>31</v>
      </c>
      <c r="D10" s="11" t="s">
        <v>37</v>
      </c>
      <c r="E10" s="9" t="s">
        <v>52</v>
      </c>
      <c r="F10" s="8" t="s">
        <v>56</v>
      </c>
    </row>
    <row r="11" customFormat="false" ht="23.85" hidden="false" customHeight="false" outlineLevel="0" collapsed="false">
      <c r="A11" s="8" t="s">
        <v>57</v>
      </c>
      <c r="B11" s="8" t="s">
        <v>58</v>
      </c>
      <c r="C11" s="9" t="s">
        <v>31</v>
      </c>
      <c r="D11" s="11" t="s">
        <v>37</v>
      </c>
      <c r="E11" s="9" t="s">
        <v>59</v>
      </c>
      <c r="F11" s="8" t="s">
        <v>60</v>
      </c>
    </row>
    <row r="12" customFormat="false" ht="23.85" hidden="false" customHeight="false" outlineLevel="0" collapsed="false">
      <c r="A12" s="8" t="s">
        <v>61</v>
      </c>
      <c r="B12" s="8" t="s">
        <v>62</v>
      </c>
      <c r="C12" s="9" t="s">
        <v>31</v>
      </c>
      <c r="D12" s="11" t="s">
        <v>37</v>
      </c>
      <c r="E12" s="9" t="s">
        <v>59</v>
      </c>
      <c r="F12" s="8" t="s">
        <v>63</v>
      </c>
    </row>
    <row r="13" customFormat="false" ht="23.85" hidden="false" customHeight="false" outlineLevel="0" collapsed="false">
      <c r="A13" s="8" t="s">
        <v>64</v>
      </c>
      <c r="B13" s="8" t="s">
        <v>65</v>
      </c>
      <c r="C13" s="9" t="s">
        <v>66</v>
      </c>
      <c r="D13" s="10" t="s">
        <v>32</v>
      </c>
      <c r="E13" s="9" t="s">
        <v>67</v>
      </c>
      <c r="F13" s="8" t="s">
        <v>68</v>
      </c>
    </row>
    <row r="14" customFormat="false" ht="35.05" hidden="false" customHeight="false" outlineLevel="0" collapsed="false">
      <c r="A14" s="8" t="s">
        <v>69</v>
      </c>
      <c r="B14" s="8" t="s">
        <v>70</v>
      </c>
      <c r="C14" s="9" t="s">
        <v>31</v>
      </c>
      <c r="D14" s="11" t="s">
        <v>37</v>
      </c>
      <c r="E14" s="9" t="s">
        <v>59</v>
      </c>
      <c r="F14" s="8" t="s">
        <v>71</v>
      </c>
    </row>
    <row r="15" customFormat="false" ht="23.85" hidden="false" customHeight="false" outlineLevel="0" collapsed="false">
      <c r="A15" s="8" t="s">
        <v>72</v>
      </c>
      <c r="B15" s="8" t="s">
        <v>73</v>
      </c>
      <c r="C15" s="9" t="s">
        <v>66</v>
      </c>
      <c r="D15" s="11" t="s">
        <v>37</v>
      </c>
      <c r="E15" s="9" t="s">
        <v>74</v>
      </c>
      <c r="F15" s="8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5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55"/>
  </cols>
  <sheetData>
    <row r="1" customFormat="false" ht="17.35" hidden="false" customHeight="false" outlineLevel="0" collapsed="false">
      <c r="A1" s="1" t="s">
        <v>17</v>
      </c>
    </row>
    <row r="3" customFormat="false" ht="15" hidden="false" customHeight="false" outlineLevel="0" collapsed="false">
      <c r="A3" s="7" t="s">
        <v>23</v>
      </c>
      <c r="B3" s="7" t="s">
        <v>24</v>
      </c>
      <c r="C3" s="7" t="s">
        <v>76</v>
      </c>
      <c r="D3" s="7" t="s">
        <v>26</v>
      </c>
      <c r="E3" s="7" t="s">
        <v>77</v>
      </c>
    </row>
    <row r="4" customFormat="false" ht="23.85" hidden="false" customHeight="false" outlineLevel="0" collapsed="false">
      <c r="A4" s="8" t="s">
        <v>78</v>
      </c>
      <c r="B4" s="8" t="s">
        <v>79</v>
      </c>
      <c r="C4" s="9" t="s">
        <v>80</v>
      </c>
      <c r="D4" s="11" t="s">
        <v>37</v>
      </c>
      <c r="E4" s="8" t="s">
        <v>81</v>
      </c>
    </row>
    <row r="5" customFormat="false" ht="23.85" hidden="false" customHeight="false" outlineLevel="0" collapsed="false">
      <c r="A5" s="8" t="s">
        <v>82</v>
      </c>
      <c r="B5" s="8" t="s">
        <v>83</v>
      </c>
      <c r="C5" s="9" t="s">
        <v>84</v>
      </c>
      <c r="D5" s="11" t="s">
        <v>37</v>
      </c>
      <c r="E5" s="8" t="s">
        <v>85</v>
      </c>
    </row>
    <row r="6" customFormat="false" ht="23.85" hidden="false" customHeight="false" outlineLevel="0" collapsed="false">
      <c r="A6" s="8" t="s">
        <v>86</v>
      </c>
      <c r="B6" s="8" t="s">
        <v>87</v>
      </c>
      <c r="C6" s="9" t="s">
        <v>88</v>
      </c>
      <c r="D6" s="11" t="s">
        <v>37</v>
      </c>
      <c r="E6" s="8" t="s">
        <v>89</v>
      </c>
    </row>
    <row r="7" customFormat="false" ht="23.85" hidden="false" customHeight="false" outlineLevel="0" collapsed="false">
      <c r="A7" s="8" t="s">
        <v>90</v>
      </c>
      <c r="B7" s="8" t="s">
        <v>91</v>
      </c>
      <c r="C7" s="9" t="s">
        <v>92</v>
      </c>
      <c r="D7" s="10" t="s">
        <v>32</v>
      </c>
      <c r="E7" s="8" t="s">
        <v>93</v>
      </c>
    </row>
    <row r="8" customFormat="false" ht="23.85" hidden="false" customHeight="false" outlineLevel="0" collapsed="false">
      <c r="A8" s="8" t="s">
        <v>94</v>
      </c>
      <c r="B8" s="8" t="s">
        <v>95</v>
      </c>
      <c r="C8" s="9" t="s">
        <v>96</v>
      </c>
      <c r="D8" s="11" t="s">
        <v>37</v>
      </c>
      <c r="E8" s="8" t="s">
        <v>97</v>
      </c>
    </row>
    <row r="9" customFormat="false" ht="23.85" hidden="false" customHeight="false" outlineLevel="0" collapsed="false">
      <c r="A9" s="8" t="s">
        <v>98</v>
      </c>
      <c r="B9" s="8" t="s">
        <v>99</v>
      </c>
      <c r="C9" s="9" t="s">
        <v>100</v>
      </c>
      <c r="D9" s="10" t="s">
        <v>32</v>
      </c>
      <c r="E9" s="8" t="s">
        <v>101</v>
      </c>
    </row>
    <row r="10" customFormat="false" ht="23.85" hidden="false" customHeight="false" outlineLevel="0" collapsed="false">
      <c r="A10" s="8" t="s">
        <v>102</v>
      </c>
      <c r="B10" s="8" t="s">
        <v>103</v>
      </c>
      <c r="C10" s="9" t="s">
        <v>104</v>
      </c>
      <c r="D10" s="11" t="s">
        <v>37</v>
      </c>
      <c r="E10" s="8" t="s">
        <v>105</v>
      </c>
    </row>
    <row r="11" customFormat="false" ht="23.85" hidden="false" customHeight="false" outlineLevel="0" collapsed="false">
      <c r="A11" s="8" t="s">
        <v>106</v>
      </c>
      <c r="B11" s="8" t="s">
        <v>107</v>
      </c>
      <c r="C11" s="9" t="s">
        <v>108</v>
      </c>
      <c r="D11" s="11" t="s">
        <v>37</v>
      </c>
      <c r="E11" s="8" t="s">
        <v>109</v>
      </c>
    </row>
    <row r="12" customFormat="false" ht="23.85" hidden="false" customHeight="false" outlineLevel="0" collapsed="false">
      <c r="A12" s="8" t="s">
        <v>110</v>
      </c>
      <c r="B12" s="8" t="s">
        <v>111</v>
      </c>
      <c r="C12" s="9" t="s">
        <v>112</v>
      </c>
      <c r="D12" s="10" t="s">
        <v>32</v>
      </c>
      <c r="E12" s="8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114</v>
      </c>
    </row>
    <row r="3" customFormat="false" ht="15" hidden="false" customHeight="false" outlineLevel="0" collapsed="false">
      <c r="A3" s="7" t="s">
        <v>27</v>
      </c>
      <c r="B3" s="7" t="s">
        <v>115</v>
      </c>
      <c r="C3" s="7" t="s">
        <v>26</v>
      </c>
      <c r="D3" s="7" t="s">
        <v>116</v>
      </c>
      <c r="E3" s="7" t="s">
        <v>117</v>
      </c>
      <c r="F3" s="7" t="s">
        <v>118</v>
      </c>
    </row>
    <row r="4" customFormat="false" ht="23.85" hidden="false" customHeight="false" outlineLevel="0" collapsed="false">
      <c r="A4" s="8" t="s">
        <v>119</v>
      </c>
      <c r="B4" s="8" t="s">
        <v>120</v>
      </c>
      <c r="C4" s="11" t="s">
        <v>37</v>
      </c>
      <c r="D4" s="9" t="n">
        <v>8</v>
      </c>
      <c r="E4" s="8" t="s">
        <v>106</v>
      </c>
      <c r="F4" s="8" t="s">
        <v>121</v>
      </c>
    </row>
    <row r="5" customFormat="false" ht="23.85" hidden="false" customHeight="false" outlineLevel="0" collapsed="false">
      <c r="A5" s="8" t="s">
        <v>38</v>
      </c>
      <c r="B5" s="8" t="s">
        <v>122</v>
      </c>
      <c r="C5" s="11" t="s">
        <v>37</v>
      </c>
      <c r="D5" s="9" t="n">
        <v>14</v>
      </c>
      <c r="E5" s="8" t="s">
        <v>123</v>
      </c>
      <c r="F5" s="8" t="s">
        <v>124</v>
      </c>
    </row>
    <row r="6" customFormat="false" ht="23.85" hidden="false" customHeight="false" outlineLevel="0" collapsed="false">
      <c r="A6" s="8" t="s">
        <v>45</v>
      </c>
      <c r="B6" s="8" t="s">
        <v>125</v>
      </c>
      <c r="C6" s="11" t="s">
        <v>37</v>
      </c>
      <c r="D6" s="9" t="n">
        <v>16</v>
      </c>
      <c r="E6" s="8" t="s">
        <v>126</v>
      </c>
      <c r="F6" s="8" t="s">
        <v>127</v>
      </c>
    </row>
    <row r="7" customFormat="false" ht="23.85" hidden="false" customHeight="false" outlineLevel="0" collapsed="false">
      <c r="A7" s="8" t="s">
        <v>52</v>
      </c>
      <c r="B7" s="8" t="s">
        <v>128</v>
      </c>
      <c r="C7" s="11" t="s">
        <v>37</v>
      </c>
      <c r="D7" s="9" t="n">
        <v>16</v>
      </c>
      <c r="E7" s="8" t="s">
        <v>129</v>
      </c>
      <c r="F7" s="8" t="s">
        <v>130</v>
      </c>
    </row>
    <row r="8" customFormat="false" ht="23.85" hidden="false" customHeight="false" outlineLevel="0" collapsed="false">
      <c r="A8" s="8" t="s">
        <v>59</v>
      </c>
      <c r="B8" s="8" t="s">
        <v>131</v>
      </c>
      <c r="C8" s="11" t="s">
        <v>37</v>
      </c>
      <c r="D8" s="9" t="n">
        <v>12</v>
      </c>
      <c r="E8" s="8" t="s">
        <v>132</v>
      </c>
      <c r="F8" s="8" t="s">
        <v>133</v>
      </c>
    </row>
    <row r="9" customFormat="false" ht="15" hidden="false" customHeight="false" outlineLevel="0" collapsed="false">
      <c r="A9" s="8" t="s">
        <v>74</v>
      </c>
      <c r="B9" s="8" t="s">
        <v>134</v>
      </c>
      <c r="C9" s="11" t="s">
        <v>37</v>
      </c>
      <c r="D9" s="9" t="n">
        <v>8</v>
      </c>
      <c r="E9" s="8" t="s">
        <v>135</v>
      </c>
      <c r="F9" s="8" t="s">
        <v>136</v>
      </c>
    </row>
    <row r="10" customFormat="false" ht="15" hidden="false" customHeight="false" outlineLevel="0" collapsed="false">
      <c r="A10" s="8" t="s">
        <v>137</v>
      </c>
      <c r="B10" s="8" t="s">
        <v>138</v>
      </c>
      <c r="C10" s="11" t="s">
        <v>37</v>
      </c>
      <c r="D10" s="9" t="n">
        <v>6</v>
      </c>
      <c r="E10" s="8" t="s">
        <v>139</v>
      </c>
      <c r="F10" s="8" t="s">
        <v>140</v>
      </c>
    </row>
    <row r="11" customFormat="false" ht="23.85" hidden="false" customHeight="false" outlineLevel="0" collapsed="false">
      <c r="A11" s="8" t="s">
        <v>33</v>
      </c>
      <c r="B11" s="8" t="s">
        <v>141</v>
      </c>
      <c r="C11" s="10" t="s">
        <v>32</v>
      </c>
      <c r="D11" s="9" t="n">
        <v>12</v>
      </c>
      <c r="E11" s="8" t="s">
        <v>142</v>
      </c>
      <c r="F11" s="8" t="s">
        <v>143</v>
      </c>
    </row>
    <row r="12" customFormat="false" ht="23.85" hidden="false" customHeight="false" outlineLevel="0" collapsed="false">
      <c r="A12" s="8" t="s">
        <v>67</v>
      </c>
      <c r="B12" s="8" t="s">
        <v>144</v>
      </c>
      <c r="C12" s="10" t="s">
        <v>32</v>
      </c>
      <c r="D12" s="9" t="n">
        <v>6</v>
      </c>
      <c r="E12" s="8" t="s">
        <v>145</v>
      </c>
      <c r="F12" s="8" t="s">
        <v>146</v>
      </c>
    </row>
    <row r="13" customFormat="false" ht="23.85" hidden="false" customHeight="false" outlineLevel="0" collapsed="false">
      <c r="A13" s="8" t="s">
        <v>147</v>
      </c>
      <c r="B13" s="8" t="s">
        <v>148</v>
      </c>
      <c r="C13" s="10" t="s">
        <v>32</v>
      </c>
      <c r="D13" s="9" t="n">
        <v>6</v>
      </c>
      <c r="E13" s="8" t="s">
        <v>149</v>
      </c>
      <c r="F13" s="8" t="s">
        <v>150</v>
      </c>
    </row>
    <row r="14" customFormat="false" ht="23.85" hidden="false" customHeight="false" outlineLevel="0" collapsed="false">
      <c r="A14" s="8" t="s">
        <v>151</v>
      </c>
      <c r="B14" s="8" t="s">
        <v>152</v>
      </c>
      <c r="C14" s="10" t="s">
        <v>32</v>
      </c>
      <c r="D14" s="9" t="n">
        <v>6</v>
      </c>
      <c r="E14" s="8" t="s">
        <v>139</v>
      </c>
      <c r="F14" s="8" t="s">
        <v>153</v>
      </c>
    </row>
    <row r="15" customFormat="false" ht="15" hidden="false" customHeight="false" outlineLevel="0" collapsed="false">
      <c r="A15" s="12" t="s">
        <v>154</v>
      </c>
      <c r="B15" s="12"/>
      <c r="C15" s="12"/>
      <c r="D15" s="12" t="n">
        <f aca="false">SUM(D4:D14)</f>
        <v>110</v>
      </c>
      <c r="E15" s="12"/>
      <c r="F1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21</v>
      </c>
    </row>
    <row r="3" customFormat="false" ht="15" hidden="false" customHeight="false" outlineLevel="0" collapsed="false">
      <c r="A3" s="7" t="s">
        <v>155</v>
      </c>
      <c r="B3" s="7" t="s">
        <v>156</v>
      </c>
      <c r="C3" s="7" t="s">
        <v>116</v>
      </c>
    </row>
    <row r="4" customFormat="false" ht="15" hidden="false" customHeight="false" outlineLevel="0" collapsed="false">
      <c r="A4" s="13" t="s">
        <v>37</v>
      </c>
      <c r="B4" s="8" t="s">
        <v>157</v>
      </c>
      <c r="C4" s="9" t="n">
        <f aca="false">'Task Breakdown'!D4+'Task Breakdown'!D5+'Task Breakdown'!D6+'Task Breakdown'!D7+'Task Breakdown'!D8+'Task Breakdown'!D9+'Task Breakdown'!D10</f>
        <v>80</v>
      </c>
    </row>
    <row r="5" customFormat="false" ht="15" hidden="false" customHeight="false" outlineLevel="0" collapsed="false">
      <c r="A5" s="14" t="s">
        <v>32</v>
      </c>
      <c r="B5" s="8" t="s">
        <v>158</v>
      </c>
      <c r="C5" s="9" t="n">
        <f aca="false">'Task Breakdown'!D11+'Task Breakdown'!D12+'Task Breakdown'!D13+'Task Breakdown'!D14</f>
        <v>30</v>
      </c>
    </row>
    <row r="6" customFormat="false" ht="15" hidden="false" customHeight="false" outlineLevel="0" collapsed="false">
      <c r="A6" s="15" t="s">
        <v>154</v>
      </c>
      <c r="B6" s="15"/>
      <c r="C6" s="12" t="n">
        <f aca="false">SUM(C4:C5)</f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2026-05-26T02:14:14Z</dcterms:created>
  <dc:creator>openpyxl</dc:creator>
  <dc:description/>
  <dc:language>en-US</dc:language>
  <cp:lastModifiedBy/>
  <dcterms:modified xsi:type="dcterms:W3CDTF">2026-05-26T02:14:14Z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